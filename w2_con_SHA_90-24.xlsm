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A3E48DDB-F979-416B-A5BF-6AA4180538FE}" xr6:coauthVersionLast="47" xr6:coauthVersionMax="47" xr10:uidLastSave="{00000000-0000-0000-0000-000000000000}"/>
  <bookViews>
    <workbookView xWindow="6120" yWindow="3720" windowWidth="21495" windowHeight="1129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<sst xmlns="http://schemas.openxmlformats.org/spreadsheetml/2006/main" count="5248" uniqueCount="2601">
  <si>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</si>
  <si>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</si>
  <si>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</si>
  <si>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</si>
  <si>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</si>
  <si>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</si>
  <si>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</si>
  <si>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</si>
  <si>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</si>
  <si>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</si>
  <si>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</si>
  <si>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</si>
  <si>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</si>
  <si>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</si>
  <si>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</si>
  <si>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</si>
  <si>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</si>
  <si>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</si>
  <si>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</si>
  <si>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</si>
  <si>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</si>
  <si>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</si>
  <si>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</si>
  <si>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</si>
  <si>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</si>
  <si>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</si>
  <si>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</si>
  <si>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</si>
  <si>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</si>
  <si>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</si>
  <si>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</si>
  <si>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</si>
  <si>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</si>
  <si>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</si>
  <si>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</si>
  <si>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</si>
  <si>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</si>
  <si>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</si>
  <si>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</si>
  <si>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</si>
  <si>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</si>
  <si>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</si>
  <si>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</si>
  <si>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</si>
  <si>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</si>
  <si>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</si>
  <si>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</si>
  <si>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</si>
  <si>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</si>
  <si>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</si>
  <si>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</si>
  <si>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</si>
  <si>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</si>
  <si>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</si>
  <si>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</si>
  <si>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</si>
  <si>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</si>
  <si>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</si>
  <si>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</si>
  <si>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</si>
  <si>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</si>
  <si>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</si>
  <si>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</si>
  <si>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</si>
  <si>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</si>
  <si>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</si>
  <si>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</si>
  <si>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</si>
  <si>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</si>
  <si>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</si>
  <si>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</si>
  <si>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</si>
  <si>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</si>
  <si>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</si>
  <si>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</si>
  <si>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</si>
  <si>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</si>
  <si>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</si>
  <si>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</si>
  <si>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</si>
  <si>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</si>
  <si>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</si>
  <si>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</si>
  <si>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</si>
  <si>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</si>
  <si>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</si>
  <si>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</si>
  <si>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</si>
  <si>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</si>
  <si>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</si>
  <si>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</si>
  <si>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</si>
  <si>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</si>
  <si>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</si>
  <si>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</si>
  <si>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</si>
  <si>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</si>
  <si>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</si>
  <si>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</si>
  <si>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</si>
  <si>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</si>
  <si>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</si>
  <si>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</si>
  <si>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</si>
  <si>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</si>
  <si>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</si>
  <si>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</si>
  <si>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</si>
  <si>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</si>
  <si>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</si>
  <si>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</si>
  <si>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</si>
  <si>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</si>
  <si>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</si>
  <si>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</si>
  <si>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</si>
  <si>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</si>
  <si>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</si>
  <si>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</si>
  <si>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</si>
  <si>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</si>
  <si>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</si>
  <si>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</si>
  <si>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</si>
  <si>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</si>
  <si>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</si>
  <si>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</si>
  <si>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</si>
  <si>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</si>
  <si>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</si>
  <si>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</si>
  <si>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</si>
  <si>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</si>
  <si>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</si>
  <si>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</si>
  <si>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</si>
  <si>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</si>
  <si>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</si>
  <si>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</si>
  <si>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</si>
  <si>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</si>
  <si>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</si>
  <si>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</si>
  <si>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</si>
  <si>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</si>
  <si>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</si>
  <si>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</si>
  <si>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</si>
  <si>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</si>
  <si>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</si>
  <si>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</si>
  <si>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</si>
  <si>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</si>
  <si>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</si>
  <si>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</si>
  <si>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</si>
  <si>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</si>
  <si>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</si>
  <si>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</si>
  <si>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</si>
  <si>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</si>
  <si>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</si>
  <si>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</si>
  <si>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</si>
  <si>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</si>
  <si>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</si>
  <si>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</si>
  <si>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</si>
  <si>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</si>
  <si>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</si>
  <si>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</si>
  <si>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</si>
  <si>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</si>
  <si>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</si>
  <si>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</si>
  <si>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</si>
  <si>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</si>
  <si>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</si>
  <si>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</si>
  <si>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</si>
  <si>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</si>
  <si>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</si>
  <si>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</si>
  <si>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</si>
  <si>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</si>
  <si>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</si>
  <si>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</si>
  <si>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</si>
  <si>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</si>
  <si>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</si>
  <si>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</si>
  <si>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</si>
  <si>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</si>
  <si>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</si>
  <si>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</si>
  <si>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</si>
  <si>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</si>
  <si>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</si>
  <si>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</si>
  <si>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</si>
  <si>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</si>
  <si>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</si>
  <si>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</si>
  <si>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</si>
  <si>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</si>
  <si>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</si>
  <si>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</si>
  <si>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</si>
  <si>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</si>
  <si>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</si>
  <si>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</si>
  <si>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</si>
  <si>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</si>
  <si>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</si>
  <si>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</si>
  <si>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</si>
  <si>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</si>
  <si>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</si>
  <si>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</si>
  <si>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</si>
  <si>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</si>
  <si>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</si>
  <si>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</si>
  <si>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</si>
  <si>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</si>
  <si>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</si>
  <si>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</si>
  <si>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</si>
  <si>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</si>
  <si>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</si>
  <si>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</si>
  <si>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</si>
  <si>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</si>
  <si>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</si>
  <si>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</si>
  <si>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</si>
  <si>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</si>
  <si>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</si>
  <si>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</si>
  <si>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</si>
  <si>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</si>
  <si>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</si>
  <si>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</si>
  <si>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</si>
  <si>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</si>
  <si>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</si>
  <si>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</si>
  <si>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</si>
  <si>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</si>
  <si>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</si>
  <si>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</si>
  <si>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</si>
  <si>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</si>
  <si>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</si>
  <si>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</si>
  <si>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</si>
  <si>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</si>
  <si>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</si>
  <si>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</si>
  <si>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</si>
  <si>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</si>
  <si>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</si>
  <si>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</si>
  <si>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</si>
  <si>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</si>
  <si>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</si>
  <si>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</si>
  <si>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</si>
  <si>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</si>
  <si>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</si>
  <si>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</si>
  <si>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</si>
  <si>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</si>
  <si>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</si>
  <si>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</si>
  <si>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</si>
  <si>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</si>
  <si>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</si>
  <si>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</si>
  <si>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</si>
  <si>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</si>
  <si>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</si>
  <si>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</si>
  <si>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</si>
  <si>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</si>
  <si>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</si>
  <si>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</si>
  <si>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</si>
  <si>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</si>
  <si>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</si>
  <si>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</si>
  <si>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</si>
  <si>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</si>
  <si>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</si>
  <si>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</si>
  <si>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</si>
  <si>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</si>
  <si>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</si>
  <si>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</si>
  <si>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</si>
  <si>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</si>
  <si>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</si>
  <si>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</si>
  <si>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</si>
  <si>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</si>
  <si>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</si>
  <si>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</si>
  <si>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</si>
  <si>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</si>
  <si>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</si>
  <si>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</si>
  <si>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</si>
  <si>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</si>
  <si>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</si>
  <si>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</si>
  <si>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</si>
  <si>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</si>
  <si>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</si>
  <si>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</si>
  <si>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</si>
  <si>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</si>
  <si>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</si>
  <si>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</si>
  <si>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</si>
  <si>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</si>
  <si>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</si>
  <si>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</si>
  <si>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</si>
  <si>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</si>
  <si>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</si>
  <si>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</si>
  <si>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</si>
  <si>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</si>
  <si>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</si>
  <si>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</si>
  <si>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</si>
  <si>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</si>
  <si>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</si>
  <si>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</si>
  <si>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</si>
  <si>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</si>
  <si>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</si>
  <si>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</si>
  <si>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</si>
  <si>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</si>
  <si>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</si>
  <si>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</si>
  <si>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</si>
  <si>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</si>
  <si>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</si>
  <si>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</si>
  <si>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</si>
  <si>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</si>
  <si>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</si>
  <si>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</si>
  <si>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</si>
  <si>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</si>
  <si>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</si>
  <si>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</si>
  <si>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</si>
  <si>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</si>
  <si>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</si>
  <si>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</si>
  <si>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</si>
  <si>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</si>
  <si>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</si>
  <si>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</si>
  <si>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</si>
  <si>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</si>
  <si>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</si>
  <si>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</si>
  <si>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</si>
  <si>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</si>
  <si>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</si>
  <si>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</si>
  <si>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</si>
  <si>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</si>
  <si>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</si>
  <si>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</si>
  <si>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</si>
  <si>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</si>
  <si>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</si>
  <si>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</si>
  <si>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</si>
  <si>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</si>
  <si>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</si>
  <si>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</si>
  <si>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</si>
  <si>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</si>
  <si>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</si>
  <si>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</si>
  <si>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</si>
  <si>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</si>
  <si>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</si>
  <si>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</si>
  <si>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</si>
  <si>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</si>
  <si>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</si>
  <si>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</si>
  <si>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</si>
  <si>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</si>
  <si>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</si>
  <si>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</si>
  <si>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</si>
  <si>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</si>
  <si>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</si>
  <si>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</si>
  <si>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</si>
  <si>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</si>
  <si>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</si>
  <si>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</si>
  <si>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</si>
  <si>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</si>
  <si>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</si>
  <si>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</si>
  <si>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</si>
  <si>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</si>
  <si>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</si>
  <si>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</si>
  <si>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</si>
  <si>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</si>
  <si>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</si>
  <si>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</si>
  <si>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</si>
  <si>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</si>
  <si>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</si>
  <si>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</si>
  <si>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</si>
  <si>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</si>
  <si>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</si>
  <si>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</si>
  <si>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</si>
  <si>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</si>
  <si>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</si>
  <si>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</si>
  <si>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</si>
  <si>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</si>
  <si>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</si>
  <si>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</si>
  <si>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</si>
  <si>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</si>
  <si>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</si>
  <si>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</si>
  <si>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</si>
  <si>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</si>
  <si>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</si>
  <si>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</si>
  <si>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</si>
  <si>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</si>
  <si>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</si>
  <si>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</si>
  <si>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</si>
  <si>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</si>
  <si>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</si>
  <si>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</si>
  <si>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</si>
  <si>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</si>
  <si>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</si>
  <si>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</si>
  <si>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</si>
  <si>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</si>
  <si>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</si>
  <si>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</si>
  <si>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</si>
  <si>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</si>
  <si>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</si>
  <si>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</si>
  <si>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</si>
  <si>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</si>
  <si>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</si>
  <si>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</si>
  <si>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</si>
  <si>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</si>
  <si>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</si>
  <si>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</si>
  <si>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</si>
  <si>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</si>
  <si>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</si>
  <si>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</si>
  <si>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</si>
  <si>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</si>
  <si>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</si>
  <si>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</si>
  <si>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</si>
  <si>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</si>
  <si>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</si>
  <si>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</si>
  <si>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</si>
  <si>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</si>
  <si>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</si>
  <si>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</si>
  <si>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</si>
  <si>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</si>
  <si>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</si>
  <si>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</si>
  <si>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</si>
  <si>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</si>
  <si>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</si>
  <si>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</si>
  <si>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</si>
  <si>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</si>
  <si>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</si>
  <si>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</si>
  <si>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</si>
  <si>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</si>
  <si>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</si>
  <si>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</si>
  <si>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</si>
  <si>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</si>
  <si>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</si>
  <si>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</si>
  <si>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</si>
  <si>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</si>
  <si>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</si>
  <si>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</si>
  <si>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</si>
  <si>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</si>
  <si>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</si>
  <si>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</si>
  <si>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</si>
  <si>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</si>
  <si>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</si>
  <si>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</si>
  <si>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</si>
  <si>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</si>
  <si>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</si>
  <si>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</si>
  <si>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</si>
  <si>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</si>
  <si>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</si>
  <si>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</si>
  <si>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</si>
  <si>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</si>
  <si>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</si>
  <si>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</si>
  <si>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</si>
  <si>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</si>
  <si>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</si>
  <si>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</si>
  <si>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</si>
  <si>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</si>
  <si>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</si>
  <si>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</si>
  <si>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</si>
  <si>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</si>
  <si>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</si>
  <si>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</si>
  <si>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</si>
  <si>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</si>
  <si>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</si>
  <si>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</si>
  <si>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</si>
  <si>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</si>
  <si>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</si>
  <si>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</si>
  <si>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</si>
  <si>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</si>
  <si>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</si>
  <si>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</si>
  <si>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</si>
  <si>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</si>
  <si>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</si>
  <si>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</si>
  <si>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</si>
  <si>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</si>
  <si>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</si>
  <si>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</si>
  <si>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</si>
  <si>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</si>
  <si>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</si>
  <si>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</si>
  <si>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</si>
  <si>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</si>
  <si>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</si>
  <si>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</si>
  <si>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</si>
  <si>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</si>
  <si>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</si>
  <si>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</si>
  <si>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</si>
  <si>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</si>
  <si>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</si>
  <si>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</si>
  <si>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</si>
  <si>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</si>
  <si>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</si>
  <si>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</si>
  <si>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</si>
  <si>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</si>
  <si>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</si>
  <si>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</si>
  <si>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</si>
  <si>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</si>
  <si>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</si>
  <si>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</si>
  <si>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</si>
  <si>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</si>
  <si>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</si>
  <si>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</si>
  <si>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</si>
  <si>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</si>
  <si>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</si>
  <si>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</si>
  <si>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</si>
  <si>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</si>
  <si>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</si>
  <si>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</si>
  <si>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</si>
  <si>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</si>
  <si>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</si>
  <si>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</si>
  <si>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</si>
  <si>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</si>
  <si>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</si>
  <si>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</si>
  <si>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</si>
  <si>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</si>
  <si>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</si>
  <si>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</si>
  <si>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</si>
  <si>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</si>
  <si>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</si>
  <si>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</si>
  <si>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</si>
  <si>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</si>
  <si>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</si>
  <si>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</si>
  <si>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</si>
  <si>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</si>
  <si>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</si>
  <si>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</si>
  <si>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</si>
  <si>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</si>
  <si>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</si>
  <si>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</si>
  <si>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</si>
  <si>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</si>
  <si>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</si>
  <si>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</si>
  <si>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</si>
  <si>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</si>
  <si>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</si>
  <si>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</si>
  <si>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</si>
  <si>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</si>
  <si>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</si>
  <si>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</si>
  <si>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</si>
  <si>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</si>
  <si>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</si>
  <si>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</si>
  <si>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</si>
  <si>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</si>
  <si>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</si>
  <si>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</si>
  <si>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</si>
  <si>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</si>
  <si>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</si>
  <si>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</si>
  <si>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</si>
  <si>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</si>
  <si>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</si>
  <si>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</si>
  <si>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</si>
  <si>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</si>
  <si>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</si>
  <si>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</si>
  <si>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</si>
  <si>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</si>
  <si>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</si>
  <si>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</si>
  <si>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</si>
  <si>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</si>
  <si>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</si>
  <si>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</si>
  <si>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</si>
  <si>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</si>
  <si>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</si>
  <si>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</si>
  <si>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</si>
  <si>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</si>
  <si>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</si>
  <si>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</si>
  <si>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</si>
  <si>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</si>
  <si>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</si>
  <si>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</si>
  <si>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</si>
  <si>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</si>
  <si>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</si>
  <si>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</si>
  <si>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</si>
  <si>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</si>
  <si>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</si>
  <si>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</si>
  <si>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</si>
  <si>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</si>
  <si>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</si>
  <si>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</si>
  <si>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</si>
  <si>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</si>
  <si>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</si>
  <si>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</si>
  <si>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</si>
  <si>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</si>
  <si>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</si>
  <si>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</si>
  <si>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</si>
  <si>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</si>
  <si>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</si>
  <si>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</si>
  <si>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</si>
  <si>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</si>
  <si>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</si>
  <si>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</si>
  <si>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</si>
  <si>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</si>
  <si>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</si>
  <si>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</si>
  <si>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</si>
  <si>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</si>
  <si>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</si>
  <si>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</si>
  <si>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</si>
  <si>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</si>
  <si>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</si>
  <si>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</si>
  <si>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</si>
  <si>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</si>
  <si>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</si>
  <si>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</si>
  <si>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</si>
  <si>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</si>
  <si>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</si>
  <si>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</si>
  <si>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</si>
  <si>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</si>
  <si>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</si>
  <si>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</si>
  <si>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</si>
  <si>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</si>
  <si>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</si>
  <si>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</si>
  <si>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</si>
  <si>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</si>
  <si>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</si>
  <si>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</si>
  <si>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</si>
  <si>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</si>
  <si>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</si>
  <si>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</si>
  <si>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</si>
  <si>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</si>
  <si>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</si>
  <si>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</si>
  <si>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</si>
  <si>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</si>
  <si>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</si>
  <si>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</si>
  <si>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</si>
  <si>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</si>
  <si>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</si>
  <si>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</si>
  <si>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</si>
  <si>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</si>
  <si>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</si>
  <si>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</si>
  <si>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</si>
  <si>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</si>
  <si>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</si>
  <si>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</si>
  <si>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</si>
  <si>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</si>
  <si>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</si>
  <si>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</si>
  <si>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</si>
  <si>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</si>
  <si>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</si>
  <si>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</si>
  <si>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</si>
  <si>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</si>
  <si>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</si>
  <si>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</si>
  <si>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</si>
  <si>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</si>
  <si>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</si>
  <si>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</si>
  <si>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</si>
  <si>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</si>
  <si>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</si>
  <si>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</si>
  <si>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</si>
  <si>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</si>
  <si>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</si>
  <si>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</si>
  <si>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</si>
  <si>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</si>
  <si>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</si>
  <si>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</si>
  <si>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</si>
  <si>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</si>
  <si>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</si>
  <si>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</si>
  <si>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</si>
  <si>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</si>
  <si>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</si>
  <si>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</si>
  <si>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</si>
  <si>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</si>
  <si>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</si>
  <si>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</si>
  <si>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</si>
  <si>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</si>
  <si>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</si>
  <si>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</si>
  <si>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</si>
  <si>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</si>
  <si>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</si>
  <si>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</si>
  <si>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</si>
  <si>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</si>
  <si>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</si>
  <si>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</si>
  <si>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</si>
  <si>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</si>
  <si>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</si>
  <si>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</si>
  <si>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</si>
  <si>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</si>
  <si>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</si>
  <si>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</si>
  <si>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</si>
  <si>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</si>
  <si>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</si>
  <si>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</si>
  <si>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</si>
  <si>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</si>
  <si>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</si>
  <si>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</si>
  <si>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</si>
  <si>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</si>
  <si>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</si>
  <si>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</si>
  <si>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</si>
  <si>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</si>
  <si>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</si>
  <si>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</si>
  <si>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</si>
  <si>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</si>
  <si>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</si>
  <si>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</si>
  <si>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</si>
  <si>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</si>
  <si>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</si>
  <si>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</si>
  <si>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</si>
  <si>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</si>
  <si>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</si>
  <si>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</si>
  <si>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</si>
  <si>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</si>
  <si>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</si>
  <si>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</si>
  <si>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</si>
  <si>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</si>
  <si>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</si>
  <si>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</si>
  <si>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</si>
  <si>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</si>
  <si>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</si>
  <si>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</si>
  <si>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</si>
  <si>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</si>
  <si>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</si>
  <si>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</si>
  <si>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</si>
  <si>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</si>
  <si>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</si>
  <si>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</si>
  <si>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</si>
  <si>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</si>
  <si>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</si>
  <si>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</si>
  <si>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</si>
  <si>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</si>
  <si>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</si>
  <si>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</si>
  <si>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</si>
  <si>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</si>
  <si>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</si>
  <si>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</si>
  <si>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</si>
  <si>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</si>
  <si>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</si>
  <si>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</si>
  <si>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</si>
  <si>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</si>
  <si>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</si>
  <si>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</si>
  <si>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</si>
  <si>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</si>
  <si>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</si>
  <si>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</si>
  <si>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</si>
  <si>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</si>
  <si>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</si>
  <si>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</si>
  <si>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</si>
  <si>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</si>
  <si>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</si>
  <si>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</si>
  <si>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</si>
  <si>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</si>
  <si>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</si>
  <si>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</si>
  <si>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</si>
  <si>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</si>
  <si>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</si>
  <si>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</si>
  <si>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</si>
  <si>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</si>
  <si>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</si>
  <si>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</si>
  <si>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</si>
  <si>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</si>
  <si>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</si>
  <si>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</si>
  <si>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</si>
  <si>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</si>
  <si>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</si>
  <si>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</si>
  <si>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</si>
  <si>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</si>
  <si>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</si>
  <si>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</si>
  <si>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</si>
  <si>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</si>
  <si>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</si>
  <si>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</si>
  <si>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</si>
  <si>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</si>
  <si>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</si>
  <si>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</si>
  <si>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</si>
  <si>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</si>
  <si>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</si>
  <si>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</si>
  <si>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</si>
  <si>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</si>
  <si>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</si>
  <si>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</si>
  <si>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</si>
  <si>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</si>
  <si>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</si>
  <si>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</si>
  <si>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</si>
  <si>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</si>
  <si>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</si>
  <si>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</si>
  <si>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</si>
  <si>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</si>
  <si>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</si>
  <si>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</si>
  <si>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</si>
  <si>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</si>
  <si>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</si>
  <si>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</si>
  <si>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</si>
  <si>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</si>
  <si>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</si>
  <si>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</si>
  <si>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</si>
  <si>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</si>
  <si>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</si>
  <si>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</si>
  <si>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</si>
  <si>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</si>
  <si>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</si>
  <si>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</si>
  <si>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</si>
  <si>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</si>
  <si>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</si>
  <si>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</si>
  <si>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</si>
  <si>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</si>
  <si>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</si>
  <si>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</si>
  <si>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</si>
  <si>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</si>
  <si>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</si>
  <si>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</si>
  <si>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</si>
  <si>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</si>
  <si>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</si>
  <si>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</si>
  <si>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</si>
  <si>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</si>
  <si>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</si>
  <si>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</si>
  <si>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</si>
  <si>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</si>
  <si>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</si>
  <si>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</si>
  <si>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</si>
  <si>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</si>
  <si>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</si>
  <si>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</si>
  <si>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</si>
  <si>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</si>
  <si>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</si>
  <si>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</si>
  <si>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</si>
  <si>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</si>
  <si>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</si>
  <si>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</si>
  <si>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</si>
  <si>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</si>
  <si>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</si>
  <si>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</si>
  <si>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</si>
  <si>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</si>
  <si>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</si>
  <si>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</si>
  <si>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</si>
  <si>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</si>
  <si>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</si>
  <si>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</si>
  <si>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</si>
  <si>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</si>
  <si>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</si>
  <si>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</si>
  <si>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</si>
  <si>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</si>
  <si>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</si>
  <si>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</si>
  <si>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</si>
  <si>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</si>
  <si>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</si>
  <si>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</si>
  <si>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</si>
  <si>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</si>
  <si>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</si>
  <si>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</si>
  <si>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</si>
  <si>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</si>
  <si>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</si>
  <si>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</si>
  <si>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</si>
  <si>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</si>
  <si>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</si>
  <si>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</si>
  <si>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</si>
  <si>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</si>
  <si>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</si>
  <si>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</si>
  <si>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</si>
  <si>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</si>
  <si>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</si>
  <si>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</si>
  <si>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</si>
  <si>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</si>
  <si>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</si>
  <si>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</si>
  <si>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</si>
  <si>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</si>
  <si>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</si>
  <si>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</si>
  <si>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</si>
  <si>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</si>
  <si>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</si>
  <si>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</si>
  <si>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</si>
  <si>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</si>
  <si>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</si>
  <si>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</si>
  <si>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</si>
  <si>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</si>
  <si>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</si>
  <si>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</si>
  <si>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</si>
  <si>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</si>
  <si>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</si>
  <si>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</si>
  <si>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</si>
  <si>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</si>
  <si>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</si>
  <si>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</si>
  <si>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</si>
  <si>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</si>
  <si>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</si>
  <si>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</si>
  <si>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</si>
  <si>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</si>
  <si>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</si>
  <si>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</si>
  <si>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</si>
  <si>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</si>
  <si>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</si>
  <si>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</si>
  <si>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</si>
  <si>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</si>
  <si>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</si>
  <si>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</si>
  <si>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</si>
  <si>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</si>
  <si>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</si>
  <si>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</si>
  <si>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</si>
  <si>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</si>
  <si>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</si>
  <si>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</si>
  <si>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</si>
  <si>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</si>
  <si>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</si>
  <si>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</si>
  <si>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</si>
  <si>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</si>
  <si>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</si>
  <si>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</si>
  <si>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</si>
  <si>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</si>
  <si>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</si>
  <si>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</si>
  <si>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</si>
  <si>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</si>
  <si>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</si>
  <si>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</si>
  <si>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</si>
  <si>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</si>
  <si>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</si>
  <si>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</si>
  <si>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</si>
  <si>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</si>
  <si>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</si>
  <si>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</si>
  <si>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</si>
  <si>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</si>
  <si>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</si>
  <si>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</si>
  <si>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</si>
  <si>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</si>
  <si>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</si>
  <si>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</si>
  <si>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</si>
  <si>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</si>
  <si>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</si>
  <si>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</si>
  <si>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</si>
  <si>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</si>
  <si>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</si>
  <si>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</si>
  <si>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</si>
  <si>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</si>
  <si>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</si>
  <si>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</si>
  <si>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</si>
  <si>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</si>
  <si>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</si>
  <si>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</si>
  <si>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</si>
  <si>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</si>
  <si>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</si>
  <si>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</si>
  <si>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</si>
  <si>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</si>
  <si>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</si>
  <si>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</si>
  <si>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</si>
  <si>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</si>
  <si>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</si>
  <si>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</si>
  <si>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</si>
  <si>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</si>
  <si>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</si>
  <si>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</si>
  <si>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</si>
  <si>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</si>
  <si>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</si>
  <si>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</si>
  <si>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</si>
  <si>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</si>
  <si>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</si>
  <si>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</si>
  <si>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</si>
  <si>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</si>
  <si>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</si>
  <si>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</si>
  <si>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</si>
  <si>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</si>
  <si>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</si>
  <si>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</si>
  <si>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</si>
  <si>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</si>
  <si>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</si>
  <si>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</si>
  <si>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</si>
  <si>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</si>
  <si>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</si>
  <si>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</si>
  <si>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</si>
  <si>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</si>
  <si>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</si>
  <si>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</si>
  <si>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</si>
  <si>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</si>
  <si>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</si>
  <si>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</si>
  <si>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</si>
  <si>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</si>
  <si>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</si>
  <si>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</si>
  <si>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</si>
  <si>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</si>
  <si>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</si>
  <si>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</si>
  <si>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</si>
  <si>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</si>
  <si>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</si>
  <si>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</si>
  <si>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</si>
  <si>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</si>
  <si>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</si>
  <si>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</si>
  <si>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</si>
  <si>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</si>
  <si>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</si>
  <si>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</si>
  <si>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</si>
  <si>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</si>
  <si>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</si>
  <si>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</si>
  <si>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</si>
  <si>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</si>
  <si>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</si>
  <si>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</si>
  <si>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</si>
  <si>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</si>
  <si>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</si>
  <si>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</si>
  <si>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</si>
  <si>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</si>
  <si>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</si>
  <si>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</si>
  <si>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</si>
  <si>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</si>
  <si>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</si>
  <si>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</si>
  <si>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</si>
  <si>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</si>
  <si>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</si>
  <si>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</si>
  <si>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</si>
  <si>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</si>
  <si>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</si>
  <si>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</si>
  <si>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</si>
  <si>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</si>
  <si>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</si>
  <si>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</si>
  <si>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</si>
  <si>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</si>
  <si>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</si>
  <si>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</si>
  <si>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</si>
  <si>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</si>
  <si>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</si>
  <si>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</si>
  <si>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</si>
  <si>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</si>
  <si>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</si>
  <si>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</si>
  <si>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</si>
  <si>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</si>
  <si>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</si>
  <si>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</si>
  <si>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</si>
  <si>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</si>
  <si>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</si>
  <si>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</si>
  <si>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</si>
  <si>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</si>
  <si>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</si>
  <si>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</si>
  <si>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</si>
  <si>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</si>
  <si>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</si>
  <si>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</si>
  <si>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</si>
  <si>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</si>
  <si>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</si>
  <si>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</si>
  <si>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</si>
  <si>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</si>
  <si>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</si>
  <si>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</si>
  <si>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</si>
  <si>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</si>
  <si>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</si>
  <si>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</si>
  <si>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</si>
  <si>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</si>
  <si>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</si>
  <si>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</si>
  <si>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</si>
  <si>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</si>
  <si>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</si>
  <si>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</si>
  <si>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</si>
  <si>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</si>
  <si>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</si>
  <si>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</si>
  <si>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</si>
  <si>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</si>
  <si>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</si>
  <si>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</si>
  <si>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</si>
  <si>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</si>
  <si>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</si>
  <si>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</si>
  <si>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</si>
  <si>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</si>
  <si>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</si>
  <si>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</si>
  <si>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</si>
  <si>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</si>
  <si>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</si>
  <si>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</si>
  <si>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</si>
  <si>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</si>
  <si>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</si>
  <si>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</si>
  <si>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</si>
  <si>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</si>
  <si>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</si>
  <si>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</si>
  <si>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</si>
  <si>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</si>
  <si>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</si>
  <si>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</si>
  <si>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</si>
  <si>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</si>
  <si>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</si>
  <si>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</si>
  <si>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</si>
  <si>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</si>
  <si>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</si>
  <si>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</si>
  <si>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</si>
  <si>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</si>
  <si>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</si>
  <si>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</si>
  <si>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</si>
  <si>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</si>
  <si>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</si>
  <si>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</si>
  <si>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</si>
  <si>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</si>
  <si>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</si>
  <si>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</si>
  <si>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</si>
  <si>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</si>
  <si>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</si>
  <si>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</si>
  <si>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</si>
  <si>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</si>
  <si>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</si>
  <si>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</si>
  <si>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</si>
  <si>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</si>
  <si>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</si>
  <si>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</si>
  <si>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</si>
  <si>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</si>
  <si>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</si>
  <si>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</si>
  <si>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</si>
  <si>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</si>
  <si>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</si>
  <si>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</si>
  <si>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</si>
  <si>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</si>
  <si>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</si>
  <si>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</si>
  <si>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</si>
  <si>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</si>
  <si>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</si>
  <si>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</si>
  <si>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</si>
  <si>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</si>
  <si>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</si>
  <si>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</si>
  <si>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</si>
  <si>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</si>
  <si>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</si>
  <si>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</si>
  <si>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</si>
  <si>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</si>
  <si>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</si>
  <si>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</si>
  <si>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</si>
  <si>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</si>
  <si>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</si>
  <si>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</si>
  <si>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</si>
  <si>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</si>
  <si>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</si>
  <si>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</si>
  <si>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</si>
  <si>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</si>
  <si>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</si>
  <si>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</si>
  <si>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</si>
  <si>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</si>
  <si>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</si>
  <si>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</si>
  <si>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</si>
  <si>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</si>
  <si>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</si>
  <si>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</si>
  <si>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</si>
  <si>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</si>
  <si>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</si>
  <si>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</si>
  <si>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</si>
  <si>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</si>
  <si>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</si>
  <si>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</si>
  <si>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</si>
  <si>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</si>
  <si>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</si>
  <si>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</si>
  <si>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</si>
  <si>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</si>
  <si>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</si>
  <si>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</si>
  <si>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</si>
  <si>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</si>
  <si>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</si>
  <si>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</si>
  <si>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</si>
  <si>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</si>
  <si>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</si>
  <si>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</si>
  <si>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</si>
  <si>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</si>
  <si>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</si>
  <si>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</si>
  <si>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</si>
  <si>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</si>
  <si>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</si>
  <si>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</si>
  <si>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</si>
  <si>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</si>
  <si>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</si>
  <si>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</si>
  <si>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</si>
  <si>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</si>
  <si>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</si>
  <si>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</si>
  <si>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</si>
  <si>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</si>
  <si>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</si>
  <si>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</si>
  <si>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</si>
  <si>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</si>
  <si>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</si>
  <si>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</si>
  <si>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</si>
  <si>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</si>
  <si>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</si>
  <si>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</si>
  <si>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</si>
  <si>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</si>
  <si>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</si>
  <si>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</si>
  <si>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</si>
  <si>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</si>
  <si>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</si>
  <si>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</si>
  <si>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</si>
  <si>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</si>
  <si>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</si>
  <si>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</si>
  <si>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</si>
  <si>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</si>
  <si>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</si>
  <si>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</si>
  <si>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</si>
  <si>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</si>
  <si>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</si>
  <si>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</si>
  <si>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</si>
  <si>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</si>
  <si>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</si>
  <si>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</si>
  <si>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</si>
  <si>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</si>
  <si>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</si>
  <si>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</si>
  <si>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</si>
  <si>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</si>
  <si>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</si>
  <si>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</si>
  <si>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</si>
  <si>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</si>
  <si>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</si>
  <si>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</si>
  <si>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</si>
  <si>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</si>
  <si>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</si>
  <si>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</si>
  <si>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</si>
  <si>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</si>
  <si>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</si>
  <si>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</si>
  <si>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</si>
  <si>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</si>
  <si>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</si>
  <si>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</si>
  <si>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</si>
  <si>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</si>
  <si>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</si>
  <si>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</si>
  <si>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</si>
  <si>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</si>
  <si>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</si>
  <si>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</si>
  <si>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</si>
  <si>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</si>
  <si>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</si>
  <si>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</si>
  <si>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</si>
  <si>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</si>
  <si>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</si>
  <si>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</si>
  <si>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</si>
  <si>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</si>
  <si>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</si>
  <si>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</si>
  <si>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</si>
  <si>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</si>
  <si>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</si>
  <si>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</si>
  <si>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</si>
  <si>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</si>
  <si>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</si>
  <si>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</si>
  <si>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</si>
  <si>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</si>
  <si>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</si>
  <si>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</si>
  <si>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</si>
  <si>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</si>
  <si>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</si>
  <si>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</si>
  <si>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</si>
  <si>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</si>
  <si>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</si>
  <si>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</si>
  <si>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</si>
  <si>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</si>
  <si>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</si>
  <si>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</si>
  <si>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</si>
  <si>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</si>
  <si>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</si>
  <si>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</si>
  <si>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</si>
  <si>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</si>
  <si>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</si>
  <si>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</si>
  <si>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</si>
  <si>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</si>
  <si>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</si>
  <si>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</si>
  <si>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</si>
  <si>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</si>
  <si>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</si>
  <si>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</si>
  <si>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</si>
  <si>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</si>
  <si>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</si>
  <si>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</si>
  <si>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</si>
  <si>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</si>
  <si>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</si>
  <si>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</si>
  <si>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</si>
  <si>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</si>
  <si>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</si>
  <si>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</si>
  <si>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</si>
  <si>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</si>
  <si>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</si>
  <si>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</si>
  <si>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</si>
  <si>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</si>
  <si>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</si>
  <si>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</si>
  <si>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</si>
  <si>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</si>
  <si>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</si>
  <si>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</si>
  <si>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</si>
  <si>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</si>
  <si>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</si>
  <si>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</si>
  <si>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</si>
  <si>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</si>
  <si>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</si>
  <si>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</si>
  <si>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</si>
  <si>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</si>
  <si>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</si>
  <si>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</si>
  <si>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</si>
  <si>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</si>
  <si>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</si>
  <si>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</si>
  <si>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</si>
  <si>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</si>
  <si>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</si>
  <si>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</si>
  <si>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</si>
  <si>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</si>
  <si>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</si>
  <si>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</si>
  <si>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</si>
  <si>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</si>
  <si>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</si>
  <si>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</si>
  <si>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</si>
  <si>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</si>
  <si>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</si>
  <si>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</si>
  <si>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</si>
  <si>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</si>
  <si>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</si>
  <si>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</si>
  <si>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</si>
  <si>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</si>
  <si>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</si>
  <si>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</si>
  <si>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</si>
  <si>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</si>
  <si>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</si>
  <si>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</si>
  <si>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</si>
  <si>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</si>
  <si>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</si>
  <si>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</si>
  <si>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</si>
  <si>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</si>
  <si>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</si>
  <si>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</si>
  <si>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</si>
  <si>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</si>
  <si>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</si>
  <si>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</si>
  <si>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</si>
  <si>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</si>
  <si>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</si>
  <si>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</si>
  <si>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</si>
  <si>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</si>
  <si>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</si>
  <si>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</si>
  <si>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</si>
  <si>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</si>
  <si>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</si>
  <si>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</si>
  <si>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</si>
  <si>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</si>
  <si>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</si>
  <si>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</si>
  <si>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</si>
  <si>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</si>
  <si>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</si>
  <si>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</si>
  <si>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</si>
  <si>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</si>
  <si>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</si>
  <si>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</si>
  <si>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</si>
  <si>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</si>
  <si>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</si>
  <si>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</si>
  <si>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</si>
  <si>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</si>
  <si>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</si>
  <si>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</si>
  <si>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</si>
  <si>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</si>
  <si>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</si>
  <si>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</si>
  <si>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</si>
  <si>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</si>
  <si>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</si>
  <si>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</si>
  <si>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</si>
  <si>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</si>
  <si>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</si>
  <si>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</si>
  <si>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</si>
  <si>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</si>
  <si>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</si>
  <si>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</si>
  <si>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</si>
  <si>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</si>
  <si>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</si>
  <si>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</si>
  <si>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</si>
  <si>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</si>
  <si>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</si>
  <si>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</si>
  <si>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</si>
  <si>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</si>
  <si>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</si>
  <si>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</si>
  <si>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</si>
  <si>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</si>
  <si>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</si>
  <si>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</si>
  <si>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</si>
  <si>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</si>
  <si>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</si>
  <si>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</si>
  <si>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</si>
  <si>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</si>
  <si>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</si>
  <si>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</si>
  <si>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</si>
  <si>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</si>
  <si>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</si>
  <si>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</si>
  <si>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</si>
  <si>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</si>
  <si>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</si>
  <si>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</si>
  <si>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</si>
  <si>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</si>
  <si>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</si>
  <si>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</si>
  <si>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</si>
  <si>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</si>
  <si>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</si>
  <si>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</si>
  <si>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</si>
  <si>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</si>
  <si>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</si>
  <si>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</si>
  <si>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</si>
  <si>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</si>
  <si>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</si>
  <si>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</si>
  <si>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</si>
  <si>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</si>
  <si>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</si>
  <si>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</si>
  <si>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</si>
  <si>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</si>
  <si>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</si>
  <si>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</si>
  <si>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</si>
  <si>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</si>
  <si>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</si>
  <si>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</si>
  <si>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</si>
  <si>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</si>
  <si>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</si>
  <si>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</si>
  <si>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</si>
  <si>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</si>
  <si>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</si>
  <si>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</si>
  <si>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</si>
  <si>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</si>
  <si>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</si>
  <si>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</si>
  <si>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</si>
  <si>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</si>
  <si>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</si>
  <si>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</si>
  <si>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</si>
  <si>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</si>
  <si>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</si>
  <si>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</si>
  <si>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</si>
  <si>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</si>
  <si>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</si>
  <si>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</si>
  <si>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</si>
  <si>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</si>
  <si>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</si>
  <si>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</si>
  <si>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</si>
  <si>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</si>
  <si>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</si>
  <si>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</si>
  <si>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</si>
  <si>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</si>
  <si>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</si>
  <si>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</si>
  <si>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</si>
  <si>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</si>
  <si>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</si>
  <si>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</si>
  <si>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</si>
  <si>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</si>
  <si>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</si>
  <si>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</si>
  <si>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</si>
  <si>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</si>
  <si>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</si>
  <si>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</si>
  <si>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</si>
  <si>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</si>
  <si>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</si>
  <si>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</si>
  <si>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</si>
  <si>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</si>
  <si>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</si>
  <si>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</si>
  <si>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</si>
  <si>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</si>
  <si>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</si>
  <si>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</si>
  <si>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</si>
  <si>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</si>
  <si>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</si>
  <si>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</si>
  <si>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</si>
  <si>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</si>
  <si>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</si>
  <si>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</si>
  <si>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</si>
  <si>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</si>
  <si>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</si>
  <si>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</si>
  <si>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</si>
  <si>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</si>
  <si>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</si>
  <si>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</si>
  <si>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</si>
  <si>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</si>
  <si>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</si>
  <si>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</si>
  <si>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</si>
  <si>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</si>
  <si>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</si>
  <si>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</si>
  <si>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</si>
  <si>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</si>
  <si>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</si>
  <si>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</si>
  <si>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</si>
  <si>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</si>
  <si>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</si>
  <si>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</si>
  <si>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</si>
  <si>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</si>
  <si>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</si>
  <si>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</si>
  <si>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</si>
  <si>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</si>
  <si>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</si>
  <si>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</si>
  <si>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</si>
  <si>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</si>
  <si>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</si>
  <si>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</si>
  <si>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</si>
  <si>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</si>
  <si>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</si>
  <si>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</si>
  <si>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</si>
  <si>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</si>
  <si>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</si>
  <si>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</si>
  <si>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</si>
  <si>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</si>
  <si>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</si>
  <si>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</si>
  <si>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</si>
  <si>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</si>
  <si>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</si>
  <si>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</si>
  <si>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</si>
  <si>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</si>
  <si>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</si>
  <si>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</si>
  <si>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</si>
  <si>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</si>
  <si>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</si>
  <si>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</si>
  <si>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</si>
  <si>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</si>
  <si>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</si>
  <si>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</si>
  <si>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</si>
  <si>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</si>
  <si>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</si>
  <si>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</si>
  <si>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</si>
  <si>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</si>
  <si>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</si>
  <si>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</si>
  <si>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</si>
  <si>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</si>
  <si>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</si>
  <si>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</si>
  <si>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</si>
  <si>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</si>
  <si>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</si>
  <si>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</si>
  <si>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</si>
  <si>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</si>
  <si>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</si>
  <si>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</si>
  <si>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</si>
  <si>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</si>
  <si>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</si>
  <si>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</si>
  <si>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</si>
  <si>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</si>
  <si>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</si>
  <si>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</si>
  <si>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</si>
  <si>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</si>
  <si>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</si>
  <si>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</si>
  <si>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</si>
  <si>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</si>
  <si>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</si>
  <si>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</si>
  <si>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</si>
  <si>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</si>
  <si>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</si>
  <si>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</si>
  <si>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</si>
  <si>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</si>
  <si>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</si>
  <si>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</si>
  <si>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</si>
  <si>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</si>
  <si>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</si>
  <si>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</si>
  <si>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</si>
  <si>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</si>
  <si>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</si>
  <si>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</si>
  <si>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</si>
  <si>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</si>
  <si>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</si>
  <si>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</si>
  <si>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</si>
  <si>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</si>
  <si>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</si>
  <si>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</si>
  <si>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</si>
  <si>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</si>
  <si>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</si>
  <si>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</si>
  <si>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</si>
  <si>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</si>
  <si>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</si>
  <si>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</si>
  <si>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</si>
  <si>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</si>
  <si>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</si>
  <si>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</si>
  <si>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</si>
  <si>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</si>
  <si>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</si>
  <si>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</si>
  <si>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</si>
  <si>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</si>
  <si>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</si>
  <si>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</si>
  <si>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</si>
  <si>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</si>
  <si>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</si>
  <si>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</si>
  <si>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</si>
  <si>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</si>
  <si>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</si>
  <si>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</si>
  <si>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</si>
  <si>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</si>
  <si>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</si>
  <si>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</si>
  <si>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</si>
  <si>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</si>
  <si>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</si>
  <si>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</si>
  <si>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</si>
  <si>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</si>
  <si>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</si>
  <si>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</si>
  <si>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</si>
  <si>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</si>
  <si>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</si>
  <si>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</si>
  <si>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</si>
  <si>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</si>
  <si>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</si>
  <si>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</si>
  <si>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</si>
  <si>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</si>
  <si>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</si>
  <si>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</si>
  <si>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</si>
  <si>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</si>
  <si>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</si>
  <si>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</si>
  <si>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</si>
  <si>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</si>
  <si>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</si>
  <si>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</si>
  <si>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</si>
  <si>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</si>
  <si>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</si>
  <si>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</si>
  <si>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</si>
  <si>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</si>
  <si>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</si>
  <si>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</si>
  <si>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</si>
  <si>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</si>
  <si>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</si>
  <si>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</si>
  <si>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</si>
  <si>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</si>
  <si>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</si>
  <si>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</si>
  <si>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</si>
  <si>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</si>
  <si>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</si>
  <si>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</si>
  <si>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</si>
  <si>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</si>
  <si>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</si>
  <si>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</si>
  <si>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</si>
  <si>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</si>
  <si>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</si>
  <si>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</si>
  <si>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</si>
  <si>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</si>
  <si>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</si>
  <si>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</si>
  <si>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</si>
  <si>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</si>
  <si>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</si>
  <si>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</si>
  <si>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</si>
  <si>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</si>
  <si>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</si>
  <si>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</si>
  <si>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</si>
  <si>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</si>
  <si>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</si>
  <si>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</si>
  <si>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</si>
  <si>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</si>
  <si>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</si>
  <si>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</si>
  <si>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</si>
  <si>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</si>
  <si>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</si>
  <si>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</si>
  <si>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</si>
  <si>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</si>
  <si>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</si>
  <si>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</si>
  <si>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</si>
  <si>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</si>
  <si>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</si>
  <si>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</si>
  <si>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</si>
  <si>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</si>
  <si>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</si>
  <si>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</si>
  <si>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</si>
  <si>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</si>
  <si>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</si>
  <si>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</si>
  <si>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</si>
  <si>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</si>
  <si>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</si>
  <si>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</si>
  <si>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</si>
  <si>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</si>
  <si>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</si>
  <si>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</si>
  <si>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</si>
  <si>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</si>
  <si>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</si>
  <si>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</si>
  <si>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</si>
  <si>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</si>
  <si>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</si>
  <si>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</si>
  <si>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</si>
  <si>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</si>
  <si>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</si>
  <si>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</si>
  <si>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</si>
  <si>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</si>
  <si>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</si>
  <si>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</si>
  <si>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</si>
  <si>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</si>
  <si>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</si>
  <si>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</si>
  <si>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</si>
  <si>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</si>
  <si>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</si>
  <si>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</si>
  <si>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</si>
  <si>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</si>
  <si>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</si>
  <si>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</si>
  <si>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</si>
  <si>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</si>
  <si>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</si>
  <si>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</si>
  <si>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</si>
  <si>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</si>
  <si>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</si>
  <si>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</si>
  <si>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</si>
  <si>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</si>
  <si>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</si>
  <si>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</si>
  <si>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</si>
  <si>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</si>
  <si>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</si>
  <si>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</si>
  <si>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</si>
  <si>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</si>
  <si>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</si>
  <si>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</si>
  <si>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</si>
  <si>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</si>
  <si>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</si>
  <si>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</si>
  <si>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</si>
  <si>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</si>
  <si>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</si>
  <si>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</si>
  <si>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</si>
  <si>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</si>
  <si>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</si>
  <si>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</si>
  <si>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</si>
  <si>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</si>
  <si>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</si>
  <si>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</si>
  <si>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</si>
  <si>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</si>
  <si>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</si>
  <si>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</si>
  <si>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</si>
  <si>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</si>
  <si>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</si>
  <si>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</si>
  <si>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</si>
  <si>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</si>
  <si>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</si>
  <si>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</si>
  <si>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</si>
  <si>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</si>
  <si>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</si>
  <si>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</si>
  <si>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</si>
  <si>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</si>
  <si>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</si>
  <si>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</si>
  <si>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</si>
  <si>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</si>
  <si>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</si>
  <si>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</si>
  <si>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</si>
  <si>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</si>
  <si>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</si>
  <si>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</si>
  <si>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</si>
  <si>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</si>
  <si>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</si>
  <si>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</si>
  <si>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</si>
  <si>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</si>
  <si>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</si>
  <si>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</si>
  <si>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</si>
  <si>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</si>
  <si>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</si>
  <si>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</si>
  <si>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</si>
  <si>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</si>
  <si>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</si>
  <si>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</si>
  <si>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</si>
  <si>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</si>
  <si>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</si>
  <si>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</si>
  <si>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</si>
  <si>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</si>
  <si>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</si>
  <si>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</si>
  <si>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</si>
  <si>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</si>
  <si>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</si>
  <si>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</si>
  <si>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</si>
  <si>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</si>
  <si>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</si>
  <si>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</si>
  <si>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</si>
  <si>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</si>
  <si>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</si>
  <si>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</si>
  <si>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</si>
  <si>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</si>
  <si>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</si>
  <si>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</si>
  <si>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</si>
  <si>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</si>
  <si>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</si>
  <si>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</si>
  <si>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</si>
  <si>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</si>
  <si>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</si>
  <si>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</si>
  <si>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</si>
  <si>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</si>
  <si>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</si>
  <si>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</si>
  <si>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</si>
  <si>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</si>
  <si>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</si>
  <si>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</si>
  <si>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</si>
  <si>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</si>
  <si>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</si>
  <si>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</si>
  <si>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</si>
  <si>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</si>
  <si>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</si>
  <si>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</si>
  <si>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</si>
  <si>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</si>
  <si>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</si>
  <si>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</si>
  <si>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</si>
  <si>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</si>
  <si>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</si>
  <si>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</si>
  <si>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</si>
  <si>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</si>
  <si>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</si>
  <si>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</si>
  <si>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</si>
  <si>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</si>
  <si>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</si>
  <si>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</si>
  <si>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</si>
  <si>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</si>
  <si>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</si>
  <si>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</si>
  <si>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</si>
  <si>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</si>
  <si>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</si>
  <si>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</si>
  <si>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</si>
  <si>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</si>
  <si>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</si>
  <si>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</si>
  <si>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</si>
  <si>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</si>
  <si>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</si>
  <si>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</si>
  <si>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</si>
  <si>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</si>
  <si>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</si>
  <si>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</si>
  <si>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</si>
  <si>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</si>
  <si>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</si>
  <si>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</si>
  <si>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</si>
  <si>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</si>
  <si>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</si>
  <si>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</si>
  <si>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</si>
  <si>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</si>
  <si>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</si>
  <si>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</si>
  <si>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</si>
  <si>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</si>
  <si>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</si>
  <si>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</si>
  <si>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</si>
  <si>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</si>
  <si>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</si>
  <si>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</si>
  <si>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</si>
  <si>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</si>
  <si>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</si>
  <si>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</si>
  <si>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</si>
  <si>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</si>
  <si>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</si>
  <si>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</si>
  <si>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</si>
  <si>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</si>
  <si>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</si>
  <si>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</si>
  <si>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</si>
  <si>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</si>
  <si>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</si>
  <si>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</si>
  <si>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</si>
  <si>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</si>
  <si>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</si>
  <si>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</si>
  <si>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</si>
  <si>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</si>
  <si>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</si>
  <si>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</si>
  <si>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</si>
  <si>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</si>
  <si>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</si>
  <si>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</si>
  <si>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</si>
  <si>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</si>
  <si>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</si>
  <si>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</si>
  <si>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</si>
  <si>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</si>
  <si>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</si>
  <si>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</si>
  <si>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</si>
  <si>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</si>
  <si>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</si>
  <si>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</si>
  <si>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</si>
  <si>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</si>
  <si>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</si>
  <si>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</si>
  <si>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</si>
  <si>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</si>
  <si>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</si>
  <si>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</si>
  <si>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</si>
  <si>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</si>
  <si>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</si>
  <si>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</si>
  <si>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</si>
  <si>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</si>
  <si>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</si>
  <si>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</si>
  <si>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</si>
  <si>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</si>
  <si>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</si>
  <si>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</si>
  <si>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</si>
  <si>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</si>
  <si>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</si>
  <si>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</si>
  <si>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</si>
  <si>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</si>
  <si>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</si>
  <si>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</si>
  <si>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</si>
  <si>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</si>
  <si>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</si>
  <si>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</si>
  <si>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</si>
  <si>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</si>
  <si>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</si>
  <si>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</si>
  <si>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</si>
  <si>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</si>
  <si>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</si>
  <si>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</si>
  <si>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</si>
  <si>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</si>
  <si>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</si>
  <si>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</si>
  <si>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</si>
  <si>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</si>
  <si>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</si>
  <si>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</si>
  <si>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</si>
  <si>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</si>
  <si>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</si>
  <si>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</si>
  <si>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</si>
  <si>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</si>
  <si>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</si>
  <si>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</si>
  <si>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</si>
  <si>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</si>
  <si>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</si>
  <si>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</si>
  <si>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</si>
  <si>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</si>
  <si>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</si>
  <si>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</si>
  <si>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</si>
  <si>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</si>
  <si>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</si>
  <si>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</si>
  <si>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</si>
  <si>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</si>
  <si>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</si>
  <si>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</si>
  <si>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</si>
  <si>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</si>
  <si>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</si>
  <si>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</si>
  <si>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</si>
  <si>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</si>
  <si>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</si>
  <si>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</si>
  <si>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</si>
  <si>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</si>
  <si>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</si>
  <si>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</si>
  <si>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</si>
  <si>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</si>
  <si>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</si>
  <si>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</si>
  <si>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</si>
  <si>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</si>
  <si>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</si>
  <si>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</si>
  <si>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</si>
  <si>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</si>
  <si>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</si>
  <si>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</si>
  <si>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</si>
  <si>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</si>
  <si>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</si>
  <si>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</si>
  <si>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</si>
  <si>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</si>
  <si>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</si>
  <si>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</si>
  <si>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</si>
  <si>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</si>
  <si>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</si>
  <si>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</si>
  <si>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</si>
  <si>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</si>
  <si>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</si>
  <si>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</si>
  <si>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</si>
  <si>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</si>
  <si>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</si>
  <si>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</si>
  <si>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</si>
  <si>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</si>
  <si>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</si>
  <si>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</si>
  <si>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</si>
  <si>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</si>
  <si>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</si>
  <si>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</si>
  <si>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</si>
  <si>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</si>
  <si>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</si>
  <si>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</si>
  <si>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</si>
  <si>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</si>
  <si>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</si>
  <si>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</si>
  <si>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</si>
  <si>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</si>
  <si>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</si>
  <si>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</si>
  <si>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</si>
  <si>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</si>
  <si>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</si>
  <si>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</si>
  <si>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</si>
  <si>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</si>
  <si>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</si>
  <si>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</si>
  <si>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</si>
  <si>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</si>
  <si>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</si>
  <si>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</si>
  <si>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</si>
  <si>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</si>
  <si>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</si>
  <si>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</si>
  <si>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</si>
  <si>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</si>
  <si>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</si>
  <si>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</si>
  <si>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</si>
  <si>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</si>
  <si>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</si>
  <si>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</si>
  <si>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</si>
  <si>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</si>
  <si>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</si>
  <si>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</si>
  <si>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</si>
  <si>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</si>
  <si>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</si>
  <si>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</si>
  <si>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</si>
  <si>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</si>
  <si>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</si>
  <si>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</si>
  <si>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</si>
  <si>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</si>
  <si>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</si>
  <si>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</si>
  <si>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</si>
  <si>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</si>
  <si>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</si>
  <si>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</si>
  <si>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</si>
  <si>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</si>
  <si>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</si>
  <si>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</si>
  <si>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</si>
  <si>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</si>
  <si>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</si>
  <si>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</si>
  <si>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</si>
  <si>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</si>
  <si>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</si>
  <si>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</si>
  <si>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</si>
  <si>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</si>
  <si>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</si>
  <si>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</si>
  <si>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</si>
  <si>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</si>
  <si>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</si>
  <si>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</si>
  <si>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</si>
  <si>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</si>
  <si>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</si>
  <si>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</si>
  <si>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</si>
  <si>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</si>
  <si>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</si>
  <si>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</si>
  <si>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</si>
  <si>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</si>
  <si>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</si>
  <si>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</si>
  <si>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</si>
  <si>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</si>
  <si>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</si>
  <si>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 xml:space="preserve">.\snp_output\snp.opt                                                                 </t>
  </si>
  <si>
    <t xml:space="preserve">.\outflows\wdo.csv                                                                 </t>
  </si>
  <si>
    <t xml:space="preserve">Shasta.w2l                                                             </t>
  </si>
  <si>
    <t>"Shasta Lake - Brodeur and Sunkara, Cornell University"</t>
  </si>
  <si>
    <t>TKE</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</si>
  <si>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</si>
  <si>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</si>
  <si>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</si>
  <si>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</si>
  <si>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</si>
  <si>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</si>
  <si>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</si>
  <si>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</si>
  <si>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</si>
  <si>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</si>
  <si>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</si>
  <si>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</si>
  <si>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</si>
  <si>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</si>
  <si>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</si>
  <si>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</si>
  <si>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</si>
  <si>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</si>
  <si>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.\met\met_sha-era5_90-24.csv                                                                 </t>
  </si>
  <si>
    <t xml:space="preserve">.\inflows\qin_sha-cnrfc-90-24_br1.csv                                                             </t>
  </si>
  <si>
    <t xml:space="preserve">.\inflows\qin_sha-cnrfc-90-24_br2.csv                                                             </t>
  </si>
  <si>
    <t xml:space="preserve">.\inflows\qin_sha-cnrfc-90-24_br3.csv                                                             </t>
  </si>
  <si>
    <t xml:space="preserve">.\inflows\qin_sha-cnrfc-90-24_br4.csv                                                             </t>
  </si>
  <si>
    <t xml:space="preserve">.\inflows\qin_sha-cnrfc-90-24_br5.csv                                                             </t>
  </si>
  <si>
    <t xml:space="preserve">.\inflows\tin_sha-90-24_br1.csv                                                             </t>
  </si>
  <si>
    <t xml:space="preserve">.\inflows\tin_sha-90-24_br2.csv                                                             </t>
  </si>
  <si>
    <t xml:space="preserve">.\inflows\tin_sha-90-24_br3.csv                                                             </t>
  </si>
  <si>
    <t xml:space="preserve">.\inflows\tin_sha-90-24_br4.csv                                                             </t>
  </si>
  <si>
    <t xml:space="preserve">.\inflows\tin_sha-90-24_br5.csv                                                             </t>
  </si>
  <si>
    <t xml:space="preserve">.\tsr_output\tsr-90-24.csv                                                                 </t>
  </si>
  <si>
    <t xml:space="preserve">.\bathymetry\bth_SHA_90-24.csv                                                         </t>
  </si>
  <si>
    <t xml:space="preserve">.\outflows\qot_sha-90-24-partitioned_br1.csv                                                                 </t>
  </si>
  <si>
    <t xml:space="preserve">.\w2_boundary\wsc.csv                                                              </t>
  </si>
  <si>
    <t xml:space="preserve">.\w2_boundary\shade.csv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</si>
</sst>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zoomScaleNormal="100" workbookViewId="0">
      <selection activeCell="C1" sqref="C1"/>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2565</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5</v>
      </c>
      <c r="E16" s="6">
        <v>63</v>
      </c>
      <c r="F16" s="6">
        <v>60</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5</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3</v>
      </c>
      <c r="D22" s="6">
        <v>1</v>
      </c>
      <c r="E22" s="6">
        <v>3</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14642</v>
      </c>
      <c r="D28" s="6">
        <v>27270</v>
      </c>
      <c r="E28" s="6">
        <v>1950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1091</v>
      </c>
      <c r="F31" s="5"/>
      <c r="G31" s="5"/>
      <c r="H31" s="5"/>
      <c r="I31" s="5"/>
      <c r="J31" s="5"/>
      <c r="K31" s="5"/>
      <c r="L31" s="5"/>
      <c r="M31" s="5"/>
      <c r="P31" s="26"/>
    </row>
    <row r="32" spans="1:23" x14ac:dyDescent="0.25">
      <c r="A32" s="61">
        <v>32905</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45533</v>
      </c>
      <c r="B34" s="13" t="s">
        <v>360</v>
      </c>
      <c r="C34" s="6">
        <v>1</v>
      </c>
      <c r="D34" s="6"/>
      <c r="E34" s="6"/>
      <c r="F34" s="6"/>
      <c r="G34" s="6"/>
      <c r="H34" s="6"/>
      <c r="I34" s="5"/>
      <c r="J34" s="5"/>
      <c r="K34" s="5"/>
      <c r="L34" s="5"/>
      <c r="M34" s="5"/>
    </row>
    <row r="35" spans="1:16" x14ac:dyDescent="0.25">
      <c r="A35" s="82">
        <f>A32-DATEVALUE("1/1/"&amp;A38)+1</f>
        <v>14642</v>
      </c>
      <c r="B35" s="20"/>
      <c r="C35" s="5" t="s">
        <v>517</v>
      </c>
      <c r="D35" s="5"/>
      <c r="E35" s="5"/>
      <c r="F35" s="5"/>
      <c r="G35" s="5"/>
      <c r="H35" s="5"/>
      <c r="I35" s="5"/>
      <c r="J35" s="5"/>
      <c r="K35" s="5"/>
      <c r="L35" s="5"/>
      <c r="M35" s="5"/>
    </row>
    <row r="36" spans="1:16" x14ac:dyDescent="0.25">
      <c r="A36" s="82">
        <f>A34-DATEVALUE("1/1/"&amp;A38)+1</f>
        <v>27270</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24</v>
      </c>
      <c r="E48" s="6">
        <v>32</v>
      </c>
      <c r="F48" s="6">
        <v>44</v>
      </c>
      <c r="G48" s="6">
        <v>59</v>
      </c>
      <c r="H48" s="5"/>
      <c r="I48" s="5"/>
      <c r="J48" s="5"/>
      <c r="K48" s="5"/>
      <c r="L48" s="5"/>
      <c r="M48" s="5"/>
    </row>
    <row r="49" spans="2:13" x14ac:dyDescent="0.25">
      <c r="B49" s="13" t="s">
        <v>465</v>
      </c>
      <c r="C49" s="6">
        <v>21</v>
      </c>
      <c r="D49" s="6">
        <v>29</v>
      </c>
      <c r="E49" s="6">
        <v>41</v>
      </c>
      <c r="F49" s="6">
        <v>56</v>
      </c>
      <c r="G49" s="6">
        <v>62</v>
      </c>
      <c r="H49" s="5"/>
      <c r="I49" s="5"/>
      <c r="J49" s="5"/>
      <c r="K49" s="5"/>
      <c r="L49" s="5"/>
      <c r="M49" s="5"/>
    </row>
    <row r="50" spans="2:13" x14ac:dyDescent="0.25">
      <c r="B50" s="13" t="s">
        <v>1302</v>
      </c>
      <c r="C50" s="6">
        <v>0</v>
      </c>
      <c r="D50" s="6">
        <v>0</v>
      </c>
      <c r="E50" s="6">
        <v>0</v>
      </c>
      <c r="F50" s="6">
        <v>0</v>
      </c>
      <c r="G50" s="6">
        <v>0</v>
      </c>
      <c r="H50" s="5"/>
      <c r="I50" s="5"/>
      <c r="J50" s="5"/>
      <c r="K50" s="5"/>
      <c r="L50" s="5"/>
      <c r="M50" s="5"/>
    </row>
    <row r="51" spans="2:13" x14ac:dyDescent="0.25">
      <c r="B51" s="13" t="s">
        <v>464</v>
      </c>
      <c r="C51" s="6">
        <v>0</v>
      </c>
      <c r="D51" s="6">
        <v>12</v>
      </c>
      <c r="E51" s="6">
        <v>15</v>
      </c>
      <c r="F51" s="6">
        <v>18</v>
      </c>
      <c r="G51" s="6">
        <v>19</v>
      </c>
      <c r="H51" s="5"/>
      <c r="I51" s="5"/>
      <c r="J51" s="5"/>
      <c r="K51" s="5"/>
      <c r="L51" s="5"/>
      <c r="M51" s="5"/>
    </row>
    <row r="52" spans="2:13" x14ac:dyDescent="0.25">
      <c r="B52" s="13" t="s">
        <v>463</v>
      </c>
      <c r="C52" s="6">
        <v>2</v>
      </c>
      <c r="D52" s="6">
        <v>2</v>
      </c>
      <c r="E52" s="6">
        <v>2</v>
      </c>
      <c r="F52" s="6">
        <v>2</v>
      </c>
      <c r="G52" s="6">
        <v>2</v>
      </c>
      <c r="H52" s="5"/>
      <c r="I52" s="5"/>
      <c r="J52" s="5"/>
      <c r="K52" s="5"/>
      <c r="L52" s="5"/>
      <c r="M52" s="5"/>
    </row>
    <row r="53" spans="2:13" x14ac:dyDescent="0.25">
      <c r="B53" s="13" t="s">
        <v>467</v>
      </c>
      <c r="C53" s="6">
        <v>0</v>
      </c>
      <c r="D53" s="6">
        <v>0</v>
      </c>
      <c r="E53" s="6">
        <v>0</v>
      </c>
      <c r="F53" s="6">
        <v>0</v>
      </c>
      <c r="G53" s="6">
        <v>0</v>
      </c>
      <c r="H53" s="5"/>
      <c r="I53" s="5"/>
      <c r="J53" s="5"/>
      <c r="K53" s="5"/>
      <c r="L53" s="5"/>
      <c r="M53" s="5"/>
    </row>
    <row r="54" spans="2:13" x14ac:dyDescent="0.25">
      <c r="B54" s="13" t="s">
        <v>468</v>
      </c>
      <c r="C54" s="6">
        <v>0</v>
      </c>
      <c r="D54" s="6">
        <v>0</v>
      </c>
      <c r="E54" s="6">
        <v>0</v>
      </c>
      <c r="F54" s="6">
        <v>0</v>
      </c>
      <c r="G54" s="6">
        <v>0</v>
      </c>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40.46</v>
      </c>
      <c r="D57" s="5"/>
      <c r="E57" s="5"/>
      <c r="F57" s="5"/>
      <c r="G57" s="5"/>
      <c r="H57" s="5"/>
      <c r="I57" s="5"/>
      <c r="J57" s="5"/>
      <c r="K57" s="5"/>
      <c r="L57" s="5"/>
      <c r="M57" s="5"/>
    </row>
    <row r="58" spans="2:13" x14ac:dyDescent="0.25">
      <c r="B58" s="13" t="s">
        <v>548</v>
      </c>
      <c r="C58" s="6">
        <v>122.2</v>
      </c>
      <c r="D58" s="5"/>
      <c r="E58" s="5"/>
      <c r="F58" s="5"/>
      <c r="G58" s="5"/>
      <c r="H58" s="5"/>
      <c r="I58" s="5"/>
      <c r="J58" s="5"/>
      <c r="K58" s="5"/>
      <c r="L58" s="5"/>
      <c r="M58" s="5"/>
    </row>
    <row r="59" spans="2:13" x14ac:dyDescent="0.25">
      <c r="B59" s="13" t="s">
        <v>550</v>
      </c>
      <c r="C59" s="6">
        <v>175.56</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5</v>
      </c>
      <c r="D61" s="5"/>
      <c r="E61" s="5"/>
      <c r="F61" s="5"/>
      <c r="G61" s="5"/>
      <c r="H61" s="5"/>
      <c r="I61" s="5"/>
      <c r="J61" s="5"/>
      <c r="K61" s="5"/>
      <c r="L61" s="5"/>
      <c r="M61" s="5"/>
    </row>
    <row r="62" spans="2:13" x14ac:dyDescent="0.25">
      <c r="B62" s="13" t="s">
        <v>553</v>
      </c>
      <c r="C62" s="6">
        <v>5</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4</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6" t="s">
        <v>1091</v>
      </c>
      <c r="F85" s="6" t="s">
        <v>1091</v>
      </c>
      <c r="G85" s="6" t="s">
        <v>1091</v>
      </c>
      <c r="H85" s="5"/>
      <c r="I85" s="5"/>
      <c r="J85" s="5"/>
      <c r="K85" s="5"/>
      <c r="L85" s="5"/>
      <c r="M85" s="5"/>
    </row>
    <row r="86" spans="2:13" x14ac:dyDescent="0.25">
      <c r="B86" s="13" t="s">
        <v>332</v>
      </c>
      <c r="C86" s="6" t="s">
        <v>1091</v>
      </c>
      <c r="D86" s="6" t="s">
        <v>1091</v>
      </c>
      <c r="E86" s="6" t="s">
        <v>1091</v>
      </c>
      <c r="F86" s="6" t="s">
        <v>1091</v>
      </c>
      <c r="G86" s="6" t="s">
        <v>1091</v>
      </c>
      <c r="H86" s="5"/>
      <c r="I86" s="5"/>
      <c r="J86" s="5"/>
      <c r="K86" s="5"/>
      <c r="L86" s="5"/>
      <c r="M86" s="5"/>
    </row>
    <row r="87" spans="2:13" x14ac:dyDescent="0.25">
      <c r="B87" s="13" t="s">
        <v>333</v>
      </c>
      <c r="C87" s="6" t="s">
        <v>17</v>
      </c>
      <c r="D87" s="6" t="s">
        <v>17</v>
      </c>
      <c r="E87" s="6" t="s">
        <v>1075</v>
      </c>
      <c r="F87" s="6" t="s">
        <v>1075</v>
      </c>
      <c r="G87" s="6" t="s">
        <v>17</v>
      </c>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1305</v>
      </c>
      <c r="C117" s="73">
        <v>7.0000000000000005E-8</v>
      </c>
      <c r="D117" s="5"/>
      <c r="E117" s="5"/>
      <c r="F117" s="5"/>
      <c r="G117" s="5"/>
      <c r="H117" s="5"/>
      <c r="I117" s="5"/>
      <c r="J117" s="5"/>
      <c r="K117" s="5"/>
      <c r="L117" s="5"/>
      <c r="M117" s="5"/>
    </row>
    <row r="118" spans="2:13" x14ac:dyDescent="0.25">
      <c r="B118" s="13" t="s">
        <v>1306</v>
      </c>
      <c r="C118" s="6">
        <v>15.9</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1</v>
      </c>
      <c r="D120" s="5"/>
      <c r="E120" s="5"/>
      <c r="F120" s="5"/>
      <c r="G120" s="5"/>
      <c r="H120" s="5"/>
      <c r="I120" s="5"/>
      <c r="J120" s="5"/>
      <c r="K120" s="5"/>
      <c r="L120" s="5"/>
      <c r="M120" s="5"/>
    </row>
    <row r="121" spans="2:13" x14ac:dyDescent="0.25">
      <c r="B121" s="13" t="s">
        <v>981</v>
      </c>
      <c r="C121" s="6" t="s">
        <v>2584</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2566</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5</v>
      </c>
      <c r="D136" s="6">
        <v>0</v>
      </c>
      <c r="E136" s="6">
        <v>0</v>
      </c>
      <c r="F136" s="6">
        <v>0</v>
      </c>
      <c r="G136" s="6">
        <v>0</v>
      </c>
      <c r="H136" s="5"/>
      <c r="I136" s="5"/>
      <c r="J136" s="5"/>
      <c r="K136" s="5"/>
      <c r="L136" s="5"/>
      <c r="M136" s="5"/>
    </row>
    <row r="137" spans="1:17" x14ac:dyDescent="0.25">
      <c r="A137" s="28" t="s">
        <v>1002</v>
      </c>
      <c r="B137" s="13" t="s">
        <v>1676</v>
      </c>
      <c r="C137" s="6" t="s">
        <v>1075</v>
      </c>
      <c r="D137" s="5" t="s">
        <v>17</v>
      </c>
      <c r="E137" s="5" t="s">
        <v>1075</v>
      </c>
      <c r="F137" s="5" t="s">
        <v>1075</v>
      </c>
      <c r="G137" s="5" t="s">
        <v>1075</v>
      </c>
      <c r="H137" s="5"/>
      <c r="I137" s="5"/>
      <c r="J137" s="5"/>
      <c r="K137" s="5"/>
      <c r="L137" s="5"/>
      <c r="M137" s="5"/>
    </row>
    <row r="138" spans="1:17" x14ac:dyDescent="0.25">
      <c r="A138" s="28" t="s">
        <v>1003</v>
      </c>
      <c r="B138" s="13" t="s">
        <v>965</v>
      </c>
      <c r="C138" s="6" t="s">
        <v>17</v>
      </c>
      <c r="D138" s="5"/>
      <c r="E138" s="5"/>
      <c r="F138" s="5"/>
      <c r="G138" s="5"/>
      <c r="H138" s="5"/>
      <c r="I138" s="5"/>
      <c r="J138" s="5"/>
      <c r="K138" s="5"/>
      <c r="L138" s="5"/>
      <c r="M138" s="5"/>
    </row>
    <row r="139" spans="1:17" x14ac:dyDescent="0.25">
      <c r="B139" s="13" t="s">
        <v>966</v>
      </c>
      <c r="C139" s="6" t="s">
        <v>17</v>
      </c>
      <c r="D139" s="5"/>
      <c r="E139" s="5"/>
      <c r="F139" s="5"/>
      <c r="G139" s="5"/>
      <c r="H139" s="5"/>
      <c r="I139" s="5"/>
      <c r="J139" s="5"/>
      <c r="K139" s="5"/>
      <c r="L139" s="5"/>
      <c r="M139" s="5"/>
    </row>
    <row r="140" spans="1:17" x14ac:dyDescent="0.25">
      <c r="B140" s="13" t="s">
        <v>967</v>
      </c>
      <c r="C140" s="6" t="s">
        <v>17</v>
      </c>
      <c r="D140" s="5"/>
      <c r="E140" s="5"/>
      <c r="F140" s="5"/>
      <c r="G140" s="5"/>
      <c r="H140" s="5"/>
      <c r="I140" s="5"/>
      <c r="J140" s="5"/>
      <c r="K140" s="5"/>
      <c r="L140" s="5"/>
      <c r="M140" s="5"/>
    </row>
    <row r="141" spans="1:17" x14ac:dyDescent="0.25">
      <c r="B141" s="13" t="s">
        <v>968</v>
      </c>
      <c r="C141" s="6" t="s">
        <v>17</v>
      </c>
      <c r="D141" s="5"/>
      <c r="E141" s="5"/>
      <c r="F141" s="5"/>
      <c r="G141" s="5"/>
      <c r="H141" s="5"/>
      <c r="I141" s="5"/>
      <c r="J141" s="5"/>
      <c r="K141" s="5"/>
      <c r="L141" s="5"/>
      <c r="M141" s="5"/>
    </row>
    <row r="142" spans="1:17" x14ac:dyDescent="0.25">
      <c r="A142" s="25" t="s">
        <v>1067</v>
      </c>
      <c r="B142" s="13" t="s">
        <v>969</v>
      </c>
      <c r="C142" s="6" t="s">
        <v>17</v>
      </c>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6">
        <v>2</v>
      </c>
      <c r="D145" s="5"/>
      <c r="E145" s="5"/>
      <c r="F145" s="5"/>
      <c r="G145" s="5"/>
      <c r="H145" s="5"/>
      <c r="I145" s="5"/>
      <c r="J145" s="5"/>
      <c r="K145" s="5"/>
      <c r="L145" s="5"/>
      <c r="M145" s="5"/>
    </row>
    <row r="146" spans="1:13" x14ac:dyDescent="0.25">
      <c r="B146" s="13" t="s">
        <v>963</v>
      </c>
      <c r="C146" s="6">
        <v>2</v>
      </c>
      <c r="D146" s="5"/>
      <c r="E146" s="5"/>
      <c r="F146" s="5"/>
      <c r="G146" s="5"/>
      <c r="H146" s="5"/>
      <c r="I146" s="5"/>
      <c r="J146" s="5"/>
      <c r="K146" s="5"/>
      <c r="L146" s="5"/>
      <c r="M146" s="5"/>
    </row>
    <row r="147" spans="1:13" x14ac:dyDescent="0.25">
      <c r="A147" s="25" t="s">
        <v>1067</v>
      </c>
      <c r="B147" s="13" t="s">
        <v>964</v>
      </c>
      <c r="C147" s="6">
        <v>2</v>
      </c>
      <c r="D147" s="5"/>
      <c r="E147" s="5"/>
      <c r="F147" s="5"/>
      <c r="G147" s="5"/>
      <c r="H147" s="5"/>
      <c r="I147" s="5"/>
      <c r="J147" s="5"/>
      <c r="K147" s="5"/>
      <c r="L147" s="5"/>
      <c r="M147" s="5"/>
    </row>
    <row r="148" spans="1:13" x14ac:dyDescent="0.25">
      <c r="B148" s="13" t="s">
        <v>955</v>
      </c>
      <c r="C148" s="6">
        <v>59</v>
      </c>
      <c r="D148" s="5"/>
      <c r="E148" s="5"/>
      <c r="F148" s="5"/>
      <c r="G148" s="5"/>
      <c r="H148" s="5"/>
      <c r="I148" s="5"/>
      <c r="J148" s="5"/>
      <c r="K148" s="5"/>
      <c r="L148" s="5"/>
      <c r="M148" s="5"/>
    </row>
    <row r="149" spans="1:13" x14ac:dyDescent="0.25">
      <c r="B149" s="13" t="s">
        <v>956</v>
      </c>
      <c r="C149" s="6">
        <v>59</v>
      </c>
      <c r="D149" s="5"/>
      <c r="E149" s="5"/>
      <c r="F149" s="5"/>
      <c r="G149" s="5"/>
      <c r="H149" s="5"/>
      <c r="I149" s="5"/>
      <c r="J149" s="5"/>
      <c r="K149" s="5"/>
      <c r="L149" s="5"/>
      <c r="M149" s="5"/>
    </row>
    <row r="150" spans="1:13" x14ac:dyDescent="0.25">
      <c r="B150" s="13" t="s">
        <v>957</v>
      </c>
      <c r="C150" s="6">
        <v>59</v>
      </c>
      <c r="D150" s="5"/>
      <c r="E150" s="5"/>
      <c r="F150" s="5"/>
      <c r="G150" s="5"/>
      <c r="H150" s="5"/>
      <c r="I150" s="5"/>
      <c r="J150" s="5"/>
      <c r="K150" s="5"/>
      <c r="L150" s="5"/>
      <c r="M150" s="5"/>
    </row>
    <row r="151" spans="1:13" x14ac:dyDescent="0.25">
      <c r="B151" s="13" t="s">
        <v>958</v>
      </c>
      <c r="C151" s="6">
        <v>59</v>
      </c>
      <c r="D151" s="5"/>
      <c r="E151" s="5"/>
      <c r="F151" s="5"/>
      <c r="G151" s="5"/>
      <c r="H151" s="5"/>
      <c r="I151" s="5"/>
      <c r="J151" s="5"/>
      <c r="K151" s="5"/>
      <c r="L151" s="5"/>
      <c r="M151" s="5"/>
    </row>
    <row r="152" spans="1:13" x14ac:dyDescent="0.25">
      <c r="A152" s="25" t="s">
        <v>1067</v>
      </c>
      <c r="B152" s="13" t="s">
        <v>959</v>
      </c>
      <c r="C152" s="6">
        <v>59</v>
      </c>
      <c r="D152" s="5"/>
      <c r="E152" s="5"/>
      <c r="F152" s="5"/>
      <c r="G152" s="5"/>
      <c r="H152" s="5"/>
      <c r="I152" s="5"/>
      <c r="J152" s="5"/>
      <c r="K152" s="5"/>
      <c r="L152" s="5"/>
      <c r="M152" s="5"/>
    </row>
    <row r="153" spans="1:13" x14ac:dyDescent="0.25">
      <c r="B153" s="13" t="s">
        <v>950</v>
      </c>
      <c r="C153" s="6" t="s">
        <v>1294</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6" t="s">
        <v>1294</v>
      </c>
      <c r="D155" s="5"/>
      <c r="E155" s="5"/>
      <c r="F155" s="5"/>
      <c r="G155" s="5"/>
      <c r="H155" s="5"/>
      <c r="I155" s="5"/>
      <c r="J155" s="5"/>
      <c r="K155" s="5"/>
      <c r="L155" s="5"/>
      <c r="M155" s="5"/>
    </row>
    <row r="156" spans="1:13" x14ac:dyDescent="0.25">
      <c r="B156" s="13" t="s">
        <v>952</v>
      </c>
      <c r="C156" s="6" t="s">
        <v>1294</v>
      </c>
      <c r="D156" s="5"/>
      <c r="E156" s="5"/>
      <c r="F156" s="5"/>
      <c r="G156" s="5"/>
      <c r="H156" s="5"/>
      <c r="I156" s="5"/>
      <c r="J156" s="5"/>
      <c r="K156" s="5"/>
      <c r="L156" s="5"/>
      <c r="M156" s="5"/>
    </row>
    <row r="157" spans="1:13" x14ac:dyDescent="0.25">
      <c r="A157" s="25" t="s">
        <v>1067</v>
      </c>
      <c r="B157" s="13" t="s">
        <v>951</v>
      </c>
      <c r="C157" s="6" t="s">
        <v>1294</v>
      </c>
      <c r="D157" s="5"/>
      <c r="E157" s="5"/>
      <c r="F157" s="5"/>
      <c r="G157" s="5"/>
      <c r="H157" s="5"/>
      <c r="I157" s="5"/>
      <c r="J157" s="5"/>
      <c r="K157" s="5"/>
      <c r="L157" s="5"/>
      <c r="M157" s="5"/>
    </row>
    <row r="158" spans="1:13" x14ac:dyDescent="0.25">
      <c r="B158" s="13" t="s">
        <v>945</v>
      </c>
      <c r="C158" s="6">
        <v>226.2</v>
      </c>
      <c r="D158" s="5"/>
      <c r="E158" s="5"/>
      <c r="F158" s="5"/>
      <c r="G158" s="5"/>
      <c r="H158" s="5"/>
      <c r="I158" s="5"/>
      <c r="J158" s="5"/>
      <c r="K158" s="5"/>
      <c r="L158" s="5"/>
      <c r="M158" s="5"/>
    </row>
    <row r="159" spans="1:13" x14ac:dyDescent="0.25">
      <c r="B159" s="13" t="s">
        <v>946</v>
      </c>
      <c r="C159" s="6">
        <v>256.60000000000002</v>
      </c>
      <c r="D159" s="5"/>
      <c r="E159" s="5"/>
      <c r="F159" s="5"/>
      <c r="G159" s="5"/>
      <c r="H159" s="5"/>
      <c r="I159" s="5"/>
      <c r="J159" s="5"/>
      <c r="K159" s="5"/>
      <c r="L159" s="5"/>
      <c r="M159" s="5"/>
    </row>
    <row r="160" spans="1:13" x14ac:dyDescent="0.25">
      <c r="B160" s="13" t="s">
        <v>947</v>
      </c>
      <c r="C160" s="6">
        <v>287.2</v>
      </c>
      <c r="D160" s="5"/>
      <c r="E160" s="5"/>
      <c r="F160" s="5"/>
      <c r="G160" s="5"/>
      <c r="H160" s="5"/>
      <c r="I160" s="5"/>
      <c r="J160" s="5"/>
      <c r="K160" s="5"/>
      <c r="L160" s="5"/>
      <c r="M160" s="5"/>
    </row>
    <row r="161" spans="1:13" x14ac:dyDescent="0.25">
      <c r="B161" s="13" t="s">
        <v>948</v>
      </c>
      <c r="C161" s="6">
        <v>316.10000000000002</v>
      </c>
      <c r="D161" s="5"/>
      <c r="E161" s="5"/>
      <c r="F161" s="5"/>
      <c r="G161" s="5"/>
      <c r="H161" s="5"/>
      <c r="I161" s="5"/>
      <c r="J161" s="5"/>
      <c r="K161" s="5"/>
      <c r="L161" s="5"/>
      <c r="M161" s="5"/>
    </row>
    <row r="162" spans="1:13" x14ac:dyDescent="0.25">
      <c r="A162" s="25" t="s">
        <v>1067</v>
      </c>
      <c r="B162" s="13" t="s">
        <v>949</v>
      </c>
      <c r="C162" s="6">
        <v>325.2</v>
      </c>
      <c r="D162" s="5"/>
      <c r="E162" s="5"/>
      <c r="F162" s="5"/>
      <c r="G162" s="5"/>
      <c r="H162" s="5"/>
      <c r="I162" s="5"/>
      <c r="J162" s="5"/>
      <c r="K162" s="5"/>
      <c r="L162" s="5"/>
      <c r="M162" s="5"/>
    </row>
    <row r="163" spans="1:13" x14ac:dyDescent="0.25">
      <c r="B163" s="13" t="s">
        <v>940</v>
      </c>
      <c r="C163" s="6">
        <v>90</v>
      </c>
      <c r="D163" s="5"/>
      <c r="E163" s="5"/>
      <c r="F163" s="5"/>
      <c r="G163" s="5"/>
      <c r="H163" s="5"/>
      <c r="I163" s="5"/>
      <c r="J163" s="5"/>
      <c r="K163" s="5"/>
      <c r="L163" s="5"/>
      <c r="M163" s="5"/>
    </row>
    <row r="164" spans="1:13" x14ac:dyDescent="0.25">
      <c r="B164" s="13" t="s">
        <v>941</v>
      </c>
      <c r="C164" s="6">
        <v>90</v>
      </c>
      <c r="D164" s="5"/>
      <c r="E164" s="5"/>
      <c r="F164" s="5"/>
      <c r="G164" s="5"/>
      <c r="H164" s="5"/>
      <c r="I164" s="5"/>
      <c r="J164" s="5"/>
      <c r="K164" s="5"/>
      <c r="L164" s="5"/>
      <c r="M164" s="5"/>
    </row>
    <row r="165" spans="1:13" x14ac:dyDescent="0.25">
      <c r="B165" s="13" t="s">
        <v>942</v>
      </c>
      <c r="C165" s="6">
        <v>70</v>
      </c>
      <c r="D165" s="5"/>
      <c r="E165" s="5"/>
      <c r="F165" s="5"/>
      <c r="G165" s="5"/>
      <c r="H165" s="5"/>
      <c r="I165" s="5"/>
      <c r="J165" s="5"/>
      <c r="K165" s="5"/>
      <c r="L165" s="5"/>
      <c r="M165" s="5"/>
    </row>
    <row r="166" spans="1:13" x14ac:dyDescent="0.25">
      <c r="B166" s="13" t="s">
        <v>943</v>
      </c>
      <c r="C166" s="6">
        <v>100.6</v>
      </c>
      <c r="D166" s="5"/>
      <c r="E166" s="5"/>
      <c r="F166" s="5"/>
      <c r="G166" s="5"/>
      <c r="H166" s="5"/>
      <c r="I166" s="5"/>
      <c r="J166" s="5"/>
      <c r="K166" s="5"/>
      <c r="L166" s="5"/>
      <c r="M166" s="5"/>
    </row>
    <row r="167" spans="1:13" x14ac:dyDescent="0.25">
      <c r="A167" s="25" t="s">
        <v>1067</v>
      </c>
      <c r="B167" s="13" t="s">
        <v>944</v>
      </c>
      <c r="C167" s="6">
        <v>70</v>
      </c>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5</v>
      </c>
      <c r="D358" s="5"/>
      <c r="E358" s="5"/>
      <c r="F358" s="5"/>
      <c r="G358" s="5"/>
      <c r="H358" s="5"/>
      <c r="I358" s="5"/>
      <c r="J358" s="5"/>
      <c r="K358" s="5"/>
      <c r="L358" s="5"/>
      <c r="M358" s="5"/>
    </row>
    <row r="359" spans="1:13" x14ac:dyDescent="0.25">
      <c r="B359" s="13" t="s">
        <v>448</v>
      </c>
      <c r="C359" s="6" t="s">
        <v>2596</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21</v>
      </c>
      <c r="D362" s="6">
        <v>21</v>
      </c>
      <c r="E362" s="6">
        <v>21</v>
      </c>
      <c r="F362" s="6">
        <v>21</v>
      </c>
      <c r="G362" s="6">
        <v>21</v>
      </c>
      <c r="H362" s="5"/>
      <c r="I362" s="5"/>
      <c r="J362" s="5"/>
      <c r="K362" s="5"/>
      <c r="L362" s="5"/>
      <c r="M362" s="5"/>
    </row>
    <row r="363" spans="1:13" x14ac:dyDescent="0.25">
      <c r="B363" s="13" t="s">
        <v>486</v>
      </c>
      <c r="C363" s="6">
        <v>-52</v>
      </c>
      <c r="D363" s="6">
        <v>-45</v>
      </c>
      <c r="E363" s="6">
        <v>-34</v>
      </c>
      <c r="F363" s="6">
        <v>-20</v>
      </c>
      <c r="G363" s="6">
        <v>-13</v>
      </c>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2563</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2</v>
      </c>
      <c r="E395" s="6">
        <v>12</v>
      </c>
      <c r="F395" s="6">
        <v>400</v>
      </c>
      <c r="G395" s="6" t="s">
        <v>2</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2</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2567</v>
      </c>
      <c r="P401" s="5" t="s">
        <v>2568</v>
      </c>
      <c r="Q401" s="5" t="s">
        <v>2569</v>
      </c>
      <c r="R401" s="5" t="s">
        <v>2570</v>
      </c>
      <c r="S401" s="5" t="s">
        <v>2571</v>
      </c>
      <c r="T401" s="5" t="s">
        <v>2572</v>
      </c>
      <c r="U401" s="5" t="s">
        <v>2573</v>
      </c>
      <c r="V401" s="5" t="s">
        <v>2574</v>
      </c>
      <c r="W401" s="5" t="s">
        <v>2575</v>
      </c>
      <c r="X401" s="5" t="s">
        <v>2576</v>
      </c>
      <c r="Y401" s="5" t="s">
        <v>2577</v>
      </c>
      <c r="Z401" s="5" t="s">
        <v>2578</v>
      </c>
      <c r="AA401" s="5" t="s">
        <v>2579</v>
      </c>
      <c r="AB401" s="5" t="s">
        <v>2580</v>
      </c>
      <c r="AC401" s="5" t="s">
        <v>2581</v>
      </c>
      <c r="AD401" s="5" t="s">
        <v>2582</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A@</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24</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2583</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2583</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2583</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2583</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2599</v>
      </c>
      <c r="D868" s="5"/>
      <c r="E868" s="5"/>
      <c r="F868" s="5"/>
      <c r="G868" s="5"/>
      <c r="H868" s="5"/>
      <c r="I868" s="5"/>
      <c r="J868" s="5"/>
      <c r="K868" s="5"/>
      <c r="L868" s="5"/>
      <c r="M868" s="5"/>
    </row>
    <row r="869" spans="1:56" x14ac:dyDescent="0.25">
      <c r="B869" s="13" t="s">
        <v>290</v>
      </c>
      <c r="C869" s="6" t="s">
        <v>2600</v>
      </c>
      <c r="D869" s="5"/>
      <c r="E869" s="5"/>
      <c r="F869" s="5"/>
      <c r="G869" s="5"/>
      <c r="H869" s="5"/>
      <c r="I869" s="5"/>
      <c r="J869" s="5"/>
      <c r="K869" s="5"/>
      <c r="L869" s="5"/>
      <c r="M869" s="5"/>
    </row>
    <row r="870" spans="1:56" x14ac:dyDescent="0.25">
      <c r="B870" s="13" t="s">
        <v>788</v>
      </c>
      <c r="C870" s="6" t="s">
        <v>2564</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2597</v>
      </c>
      <c r="D873" s="6"/>
      <c r="E873" s="5"/>
      <c r="F873" s="5"/>
      <c r="G873" s="5"/>
      <c r="H873" s="5"/>
      <c r="I873" s="5"/>
      <c r="J873" s="5"/>
      <c r="K873" s="5"/>
      <c r="L873" s="5"/>
      <c r="M873" s="5"/>
    </row>
    <row r="874" spans="1:56" x14ac:dyDescent="0.25">
      <c r="B874" s="13" t="s">
        <v>1322</v>
      </c>
      <c r="C874" s="6" t="s">
        <v>2585</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2562</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2586</v>
      </c>
      <c r="D886" s="6" t="s">
        <v>2587</v>
      </c>
      <c r="E886" s="6" t="s">
        <v>2588</v>
      </c>
      <c r="F886" s="6" t="s">
        <v>2589</v>
      </c>
      <c r="G886" s="6" t="s">
        <v>2590</v>
      </c>
      <c r="H886" s="5"/>
      <c r="I886" s="5"/>
      <c r="J886" s="5"/>
      <c r="K886" s="5"/>
      <c r="L886" s="5"/>
      <c r="M886" s="5"/>
    </row>
    <row r="887" spans="2:56" x14ac:dyDescent="0.25">
      <c r="B887" s="13" t="s">
        <v>227</v>
      </c>
      <c r="C887" s="6" t="s">
        <v>2591</v>
      </c>
      <c r="D887" s="6" t="s">
        <v>2592</v>
      </c>
      <c r="E887" s="6" t="s">
        <v>2593</v>
      </c>
      <c r="F887" s="6" t="s">
        <v>2594</v>
      </c>
      <c r="G887" s="6" t="s">
        <v>2595</v>
      </c>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2598</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6"/>
      <c r="F890" s="6"/>
      <c r="G890" s="6"/>
      <c r="H890" s="6"/>
      <c r="I890" s="6"/>
      <c r="J890" s="6"/>
      <c r="K890" s="6"/>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3</v>
      </c>
      <c r="C65" s="8">
        <f>w2_con.csv!D22</f>
        <v>1</v>
      </c>
      <c r="D65" s="8">
        <f>w2_con.csv!E22</f>
        <v>3</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2025-10-16T17:20:42Z</dcterms:modified>
</cp:coreProperties>
</file>